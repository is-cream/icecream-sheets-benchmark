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bFuncs" sheetId="1" r:id="rId1"/>
    <sheet name="TextFuncs" sheetId="2" r:id="rId2"/>
    <sheet name="StatsFuncs" sheetId="3" r:id="rId3"/>
    <sheet name="MathFuncs" sheetId="4" r:id="rId4"/>
    <sheet name="FinFuncs" sheetId="5" r:id="rId5"/>
    <sheet name="LookupFunc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Name</v>
      </c>
      <c r="B1" t="str">
        <v>Age</v>
      </c>
      <c r="C1" t="str">
        <v>Score</v>
      </c>
    </row>
    <row r="2">
      <c r="A2" t="str">
        <v>a</v>
      </c>
      <c r="B2">
        <v>20</v>
      </c>
      <c r="C2">
        <v>80</v>
      </c>
    </row>
    <row r="3">
      <c r="A3" t="str">
        <v>b</v>
      </c>
      <c r="B3">
        <v>25</v>
      </c>
      <c r="C3">
        <v>90</v>
      </c>
    </row>
    <row r="4">
      <c r="A4" t="str">
        <v>c</v>
      </c>
      <c r="B4">
        <v>30</v>
      </c>
      <c r="C4">
        <v>85</v>
      </c>
    </row>
    <row r="5">
      <c r="A5" t="str">
        <v>d</v>
      </c>
      <c r="B5">
        <v>22</v>
      </c>
      <c r="C5">
        <v>88</v>
      </c>
    </row>
    <row r="7">
      <c r="A7" t="str">
        <v>Name</v>
      </c>
      <c r="B7" t="str">
        <v>Age</v>
      </c>
      <c r="C7" t="str">
        <v>Score</v>
      </c>
    </row>
    <row r="8">
      <c r="A8" t="str">
        <v>a</v>
      </c>
      <c r="B8" t="str">
        <v/>
      </c>
      <c r="C8" t="str">
        <v/>
      </c>
    </row>
    <row r="9">
      <c r="A9" t="str">
        <v>b</v>
      </c>
      <c r="B9" t="str">
        <v/>
      </c>
      <c r="C9" t="str">
        <v/>
      </c>
    </row>
    <row r="10">
      <c r="A10">
        <f>DSUM(A1:C5,"Score",A7:C9)</f>
        <v>0</v>
      </c>
    </row>
    <row r="11">
      <c r="A11">
        <f>DAVERAGE(A1:C5,"Score",A7:C9)</f>
        <v>0</v>
      </c>
    </row>
    <row r="12">
      <c r="A12">
        <f>DCOUNT(A1:C5,"Score",A7:C9)</f>
        <v>0</v>
      </c>
    </row>
    <row r="13">
      <c r="A13">
        <f>DCOUNTA(A1:C5,"Name",A7:C9)</f>
        <v>0</v>
      </c>
    </row>
    <row r="14">
      <c r="A14">
        <f>DMAX(A1:C5,"Score",A7:C9)</f>
        <v>0</v>
      </c>
    </row>
    <row r="15">
      <c r="A15">
        <f>DMIN(A1:C5,"Score",A7:C9)</f>
        <v>0</v>
      </c>
    </row>
    <row r="16">
      <c r="A16">
        <f>DSTDEV(A1:C5,"Score",A7:C9)</f>
        <v>0</v>
      </c>
    </row>
    <row r="17">
      <c r="A17">
        <f>DSTDEVP(A1:C5,"Score",A7:C9)</f>
        <v>0</v>
      </c>
    </row>
    <row r="18">
      <c r="A18">
        <f>DVAR(A1:C5,"Score",A7:C9)</f>
        <v>0</v>
      </c>
    </row>
    <row r="19">
      <c r="A19">
        <f>DVARP(A1:C5,"Score",A7:C9)</f>
        <v>0</v>
      </c>
    </row>
    <row r="20">
      <c r="A20">
        <f>DGET(A1:C5,"Score",A7:C8)</f>
        <v>0</v>
      </c>
    </row>
  </sheetData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>
        <f>NUMBERVALUE("1,234.56")</f>
        <v>0</v>
      </c>
    </row>
    <row r="2">
      <c r="A2">
        <f>TEXTBEFORE("a,b,c",",")</f>
        <v>0</v>
      </c>
    </row>
    <row r="3">
      <c r="A3">
        <f>TEXTAFTER("a,b,c",",")</f>
        <v>0</v>
      </c>
    </row>
    <row r="4">
      <c r="A4">
        <f>TEXTBEFORE("a,b,c",",",2)</f>
        <v>0</v>
      </c>
    </row>
    <row r="5">
      <c r="A5">
        <f>ARRAYTOTEXT({1,"a"})</f>
        <v>0</v>
      </c>
    </row>
    <row r="6">
      <c r="A6">
        <f>VALUETOTEXT(42)</f>
        <v>0</v>
      </c>
    </row>
    <row r="7">
      <c r="A7">
        <f>REGEXTEST("abc123","[0-9]+")</f>
        <v>0</v>
      </c>
    </row>
    <row r="8">
      <c r="A8">
        <f>REGEXEXTRACT("abc123","[0-9]+")</f>
        <v>0</v>
      </c>
    </row>
    <row r="9">
      <c r="A9">
        <f>REGEXREPLACE("abc123","[0-9]+","XYZ")</f>
        <v>0</v>
      </c>
    </row>
  </sheetData>
  <ignoredErrors>
    <ignoredError numberStoredAsText="1" sqref="A1:A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>
        <v>10</v>
      </c>
      <c r="B1">
        <f>MODE.SNGL(A1:A8)</f>
        <v>0</v>
      </c>
    </row>
    <row r="2">
      <c r="A2">
        <v>20</v>
      </c>
      <c r="B2">
        <f>MODE(A1:A8)</f>
        <v>0</v>
      </c>
    </row>
    <row r="3">
      <c r="A3">
        <v>20</v>
      </c>
      <c r="B3">
        <f>PERCENTILE.INC(A1:A8,0.5)</f>
        <v>0</v>
      </c>
    </row>
    <row r="4">
      <c r="A4">
        <v>30</v>
      </c>
      <c r="B4">
        <f>PERCENTILE(A1:A8,0.5)</f>
        <v>0</v>
      </c>
    </row>
    <row r="5">
      <c r="A5">
        <v>40</v>
      </c>
      <c r="B5">
        <f>QUARTILE.INC(A1:A8,2)</f>
        <v>0</v>
      </c>
    </row>
    <row r="6">
      <c r="A6">
        <v>50</v>
      </c>
      <c r="B6">
        <f>TRIMMEAN(A1:A8,0.25)</f>
        <v>0</v>
      </c>
    </row>
    <row r="7">
      <c r="A7">
        <v>60</v>
      </c>
      <c r="B7">
        <f>RANK.AVG(20,A1:A8,0)</f>
        <v>0</v>
      </c>
    </row>
    <row r="8">
      <c r="A8">
        <v>70</v>
      </c>
      <c r="B8">
        <f>RANK(30,A1:A8,0)</f>
        <v>0</v>
      </c>
    </row>
    <row r="9">
      <c r="B9">
        <f>PERCENTRANK.INC(A1:A8,30)</f>
        <v>0</v>
      </c>
    </row>
    <row r="10">
      <c r="B10">
        <f>PROB({1,2,3},{0.2,0.5,0.3},2)</f>
        <v>0</v>
      </c>
    </row>
    <row r="11">
      <c r="B11">
        <f>FORECAST.LINEAR(9,{10,20,30},{1,2,3})</f>
        <v>0</v>
      </c>
    </row>
    <row r="12">
      <c r="B12">
        <f>INTERCEPT({10,20,30},{1,2,3})</f>
        <v>0</v>
      </c>
    </row>
    <row r="13">
      <c r="B13">
        <f>AGGREGATE(9,0,A1:A8)</f>
        <v>0</v>
      </c>
    </row>
    <row r="14">
      <c r="B14">
        <f>AGGREGATE(1,0,A1:A8)</f>
        <v>0</v>
      </c>
    </row>
  </sheetData>
  <ignoredErrors>
    <ignoredError numberStoredAsText="1" sqref="A1:B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>
        <f>ERF.PRECISE(1)</f>
        <v>0</v>
      </c>
    </row>
    <row r="2">
      <c r="A2">
        <f>ERFC.PRECISE(0)</f>
        <v>0</v>
      </c>
    </row>
    <row r="3">
      <c r="A3">
        <f>ECMA.CEILING(4.2)</f>
        <v>0</v>
      </c>
    </row>
    <row r="4">
      <c r="A4">
        <f>MDETERM({1,2;3,4})</f>
        <v>0</v>
      </c>
    </row>
    <row r="5">
      <c r="A5">
        <f>PERMUT(5,2)</f>
        <v>0</v>
      </c>
    </row>
    <row r="6">
      <c r="A6">
        <f>PERMUTATIONA(5,2)</f>
        <v>0</v>
      </c>
    </row>
    <row r="7">
      <c r="A7">
        <f>BINOM.DIST.RANGE(10,0.5,5,5)</f>
        <v>0</v>
      </c>
    </row>
  </sheetData>
  <ignoredErrors>
    <ignoredError numberStoredAsText="1" sqref="A1:A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>
        <f>IRR({-100,50,60})</f>
        <v>0</v>
      </c>
    </row>
  </sheetData>
  <ignoredErrors>
    <ignoredError numberStoredAsText="1" sqref="A1:A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>
        <v>1</v>
      </c>
      <c r="B1" t="str">
        <v>a</v>
      </c>
      <c r="C1">
        <f>XLOOKUP(2,A1:A3,B1:B3)</f>
        <v>0</v>
      </c>
    </row>
    <row r="2">
      <c r="A2">
        <v>2</v>
      </c>
      <c r="B2" t="str">
        <v>b</v>
      </c>
      <c r="C2">
        <f>LOOKUP(2,A1:A3,B1:B3)</f>
        <v>0</v>
      </c>
    </row>
    <row r="3">
      <c r="A3">
        <v>3</v>
      </c>
      <c r="B3" t="str">
        <v>c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DbFuncs</vt:lpstr>
      <vt:lpstr>TextFuncs</vt:lpstr>
      <vt:lpstr>StatsFuncs</vt:lpstr>
      <vt:lpstr>MathFuncs</vt:lpstr>
      <vt:lpstr>FinFuncs</vt:lpstr>
      <vt:lpstr>LookupFuncs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