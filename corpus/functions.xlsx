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s" sheetId="1" r:id="rId1"/>
    <sheet name="Lookup" sheetId="2" r:id="rId2"/>
    <sheet name="DbData" sheetId="3" r:id="rId3"/>
    <sheet name="DbCrit" sheetId="4" r:id="rId4"/>
    <sheet name="Math" sheetId="5" r:id="rId5"/>
    <sheet name="Text" sheetId="6" r:id="rId6"/>
    <sheet name="Logic" sheetId="7" r:id="rId7"/>
    <sheet name="Dates" sheetId="8" r:id="rId8"/>
    <sheet name="Finance" sheetId="9" r:id="rId9"/>
    <sheet name="Info" sheetId="10" r:id="rId10"/>
    <sheet name="Eng" sheetId="11" r:id="rId11"/>
    <sheet name="More" sheetId="12" r:id="rId12"/>
    <sheet name="More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>
        <v>5</v>
      </c>
      <c r="B1">
        <f>SUM(A1:A5)</f>
        <v>0</v>
      </c>
    </row>
    <row r="2">
      <c r="A2">
        <v>10</v>
      </c>
      <c r="B2">
        <f>AVERAGE(A1:A5)</f>
        <v>0</v>
      </c>
    </row>
    <row r="3">
      <c r="A3">
        <v>15</v>
      </c>
      <c r="B3">
        <f>COUNT(A1:A5)</f>
        <v>0</v>
      </c>
    </row>
    <row r="4">
      <c r="A4">
        <v>20</v>
      </c>
      <c r="B4">
        <f>COUNTA(A1:A5)</f>
        <v>0</v>
      </c>
    </row>
    <row r="5">
      <c r="A5">
        <v>25</v>
      </c>
      <c r="B5">
        <f>MAX(A1:A5)</f>
        <v>0</v>
      </c>
    </row>
    <row r="6">
      <c r="B6">
        <f>MIN(A1:A5)</f>
        <v>0</v>
      </c>
    </row>
    <row r="7">
      <c r="B7">
        <f>LARGE(A1:A5,2)</f>
        <v>0</v>
      </c>
    </row>
    <row r="8">
      <c r="B8">
        <f>SMALL(A1:A5,2)</f>
        <v>0</v>
      </c>
    </row>
    <row r="9">
      <c r="B9">
        <f>MEDIAN(A1:A5)</f>
        <v>0</v>
      </c>
    </row>
    <row r="10">
      <c r="B10">
        <f>SUMIF(A1:A5,"&gt;10")</f>
        <v>0</v>
      </c>
    </row>
    <row r="11">
      <c r="B11">
        <f>COUNTIF(A1:A5,"&gt;10")</f>
        <v>0</v>
      </c>
    </row>
    <row r="12">
      <c r="B12">
        <f>AVERAGEIF(A1:A5,"&gt;10")</f>
        <v>0</v>
      </c>
    </row>
    <row r="13">
      <c r="B13">
        <f>STDEVP(A1:A5)</f>
        <v>0</v>
      </c>
    </row>
    <row r="14">
      <c r="B14">
        <f>VARP(A1:A5)</f>
        <v>0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a</v>
      </c>
      <c r="C1">
        <v>1</v>
      </c>
      <c r="E1" t="str">
        <v>a</v>
      </c>
      <c r="F1" t="str">
        <v>b</v>
      </c>
      <c r="G1" t="str">
        <v>c</v>
      </c>
      <c r="H1" t="str">
        <v>d</v>
      </c>
      <c r="I1">
        <f>VLOOKUP("b",A1:C4,3,FALSE())</f>
        <v>0</v>
      </c>
    </row>
    <row r="2">
      <c r="A2" t="str">
        <v>b</v>
      </c>
      <c r="C2">
        <v>2</v>
      </c>
      <c r="E2">
        <v>1</v>
      </c>
      <c r="F2">
        <v>2</v>
      </c>
      <c r="G2">
        <v>3</v>
      </c>
      <c r="H2">
        <v>4</v>
      </c>
      <c r="I2">
        <f>VLOOKUP("c",A1:C4,3,FALSE())</f>
        <v>0</v>
      </c>
    </row>
    <row r="3">
      <c r="A3" t="str">
        <v>c</v>
      </c>
      <c r="C3">
        <v>3</v>
      </c>
      <c r="I3">
        <f>VLOOKUP("z",A1:C4,3,FALSE())</f>
        <v>0</v>
      </c>
    </row>
    <row r="4">
      <c r="A4" t="str">
        <v>d</v>
      </c>
      <c r="C4">
        <v>4</v>
      </c>
      <c r="I4">
        <f>HLOOKUP("b",E1:H2,2,FALSE())</f>
        <v>0</v>
      </c>
    </row>
    <row r="5">
      <c r="I5">
        <f>INDEX(A1:A4,2)</f>
        <v>0</v>
      </c>
    </row>
    <row r="6">
      <c r="I6">
        <f>MATCH("c",A1:A4,0)</f>
        <v>0</v>
      </c>
    </row>
    <row r="7">
      <c r="I7">
        <f>CHOOSE(2,"a","b","c")</f>
        <v>0</v>
      </c>
    </row>
    <row r="8">
      <c r="I8">
        <f>COLUMN(B5)</f>
        <v>0</v>
      </c>
    </row>
    <row r="9">
      <c r="I9">
        <f>ROW(C7)</f>
        <v>0</v>
      </c>
    </row>
    <row r="10">
      <c r="I10">
        <f>COLUMNS(A1:C5)</f>
        <v>0</v>
      </c>
    </row>
    <row r="11">
      <c r="I11">
        <f>ROWS(A1:C5)</f>
        <v>0</v>
      </c>
    </row>
    <row r="12">
      <c r="I12">
        <f>ADDRESS(2,3)</f>
        <v>0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Sales</v>
      </c>
    </row>
    <row r="2">
      <c r="A2" t="str">
        <v>a</v>
      </c>
      <c r="B2">
        <v>100</v>
      </c>
    </row>
    <row r="3">
      <c r="A3" t="str">
        <v>b</v>
      </c>
      <c r="B3">
        <v>200</v>
      </c>
    </row>
    <row r="4">
      <c r="A4" t="str">
        <v>a</v>
      </c>
      <c r="B4">
        <v>150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Name</v>
      </c>
    </row>
    <row r="2">
      <c r="A2" t="str">
        <v>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Data>
    <row r="1">
      <c r="B1">
        <f>ABS(-5)</f>
        <v>0</v>
      </c>
    </row>
    <row r="2">
      <c r="B2">
        <f>ABS(5)</f>
        <v>0</v>
      </c>
    </row>
    <row r="3">
      <c r="B3">
        <f>ACOS(0.5)</f>
        <v>0</v>
      </c>
    </row>
    <row r="4">
      <c r="B4">
        <f>ACOSH(2)</f>
        <v>0</v>
      </c>
    </row>
    <row r="5">
      <c r="B5">
        <f>ASIN(0.5)</f>
        <v>0</v>
      </c>
    </row>
    <row r="6">
      <c r="B6">
        <f>ASINH(2)</f>
        <v>0</v>
      </c>
    </row>
    <row r="7">
      <c r="B7">
        <f>ATAN(1)</f>
        <v>0</v>
      </c>
    </row>
    <row r="8">
      <c r="B8">
        <f>ATAN2(1,1)</f>
        <v>0</v>
      </c>
    </row>
    <row r="9">
      <c r="B9">
        <f>ATANH(0.5)</f>
        <v>0</v>
      </c>
    </row>
    <row r="10">
      <c r="B10">
        <f>COS(1)</f>
        <v>0</v>
      </c>
    </row>
    <row r="11">
      <c r="B11">
        <f>COSH(1)</f>
        <v>0</v>
      </c>
    </row>
    <row r="12">
      <c r="B12">
        <f>SIN(1)</f>
        <v>0</v>
      </c>
    </row>
    <row r="13">
      <c r="B13">
        <f>SINH(1)</f>
        <v>0</v>
      </c>
    </row>
    <row r="14">
      <c r="B14">
        <f>TAN(1)</f>
        <v>0</v>
      </c>
    </row>
    <row r="15">
      <c r="B15">
        <f>TAN(1)</f>
        <v>0</v>
      </c>
    </row>
    <row r="16">
      <c r="B16">
        <f>DEGREES(3.14159265358979)</f>
        <v>0</v>
      </c>
    </row>
    <row r="17">
      <c r="B17">
        <f>RADIANS(180)</f>
        <v>0</v>
      </c>
    </row>
    <row r="18">
      <c r="B18">
        <f>EXP(1)</f>
        <v>0</v>
      </c>
    </row>
    <row r="19">
      <c r="B19">
        <f>LN(2.71828182845905)</f>
        <v>0</v>
      </c>
    </row>
    <row r="20">
      <c r="B20">
        <f>LOG(100,10)</f>
        <v>0</v>
      </c>
    </row>
    <row r="21">
      <c r="B21">
        <f>LOG10(1000)</f>
        <v>0</v>
      </c>
    </row>
    <row r="22">
      <c r="B22">
        <f>PI()</f>
        <v>0</v>
      </c>
    </row>
    <row r="23">
      <c r="B23">
        <f>POWER(2,8)</f>
        <v>0</v>
      </c>
    </row>
    <row r="24">
      <c r="B24">
        <f>SQRT(16)</f>
        <v>0</v>
      </c>
    </row>
    <row r="25">
      <c r="B25">
        <f>INT(7.9)</f>
        <v>0</v>
      </c>
    </row>
    <row r="26">
      <c r="B26">
        <f>INT(-7.1)</f>
        <v>0</v>
      </c>
    </row>
    <row r="27">
      <c r="B27">
        <f>TRUNC(7.9)</f>
        <v>0</v>
      </c>
    </row>
    <row r="28">
      <c r="B28">
        <f>TRUNC(-7.9)</f>
        <v>0</v>
      </c>
    </row>
    <row r="29">
      <c r="B29">
        <f>ROUND(3.14159,2)</f>
        <v>0</v>
      </c>
    </row>
    <row r="30">
      <c r="B30">
        <f>ROUNDDOWN(3.99,1)</f>
        <v>0</v>
      </c>
    </row>
    <row r="31">
      <c r="B31">
        <f>ROUNDUP(3.11,1)</f>
        <v>0</v>
      </c>
    </row>
    <row r="32">
      <c r="B32">
        <f>CEILING(4.2,1)</f>
        <v>0</v>
      </c>
    </row>
    <row r="33">
      <c r="B33">
        <f>FLOOR(4.9,1)</f>
        <v>0</v>
      </c>
    </row>
    <row r="34">
      <c r="B34">
        <f>EVEN(3)</f>
        <v>0</v>
      </c>
    </row>
    <row r="35">
      <c r="B35">
        <f>ODD(3)</f>
        <v>0</v>
      </c>
    </row>
    <row r="36">
      <c r="B36">
        <f>EVEN(4)</f>
        <v>0</v>
      </c>
    </row>
    <row r="37">
      <c r="B37">
        <f>MOD(10,3)</f>
        <v>0</v>
      </c>
    </row>
    <row r="38">
      <c r="B38">
        <f>MOD(-10,3)</f>
        <v>0</v>
      </c>
    </row>
    <row r="39">
      <c r="B39">
        <f>QUOTIENT(10,3)</f>
        <v>0</v>
      </c>
    </row>
    <row r="40">
      <c r="B40">
        <f>PRODUCT(2,3,4)</f>
        <v>0</v>
      </c>
    </row>
    <row r="41">
      <c r="B41">
        <f>SUMSQ(3,4)</f>
        <v>0</v>
      </c>
    </row>
    <row r="42">
      <c r="B42">
        <f>FACT(5)</f>
        <v>0</v>
      </c>
    </row>
    <row r="43">
      <c r="B43">
        <f>GCD(12,18)</f>
        <v>0</v>
      </c>
    </row>
    <row r="44">
      <c r="B44">
        <f>LCM(4,6)</f>
        <v>0</v>
      </c>
    </row>
    <row r="45">
      <c r="B45">
        <f>COMBIN(5,2)</f>
        <v>0</v>
      </c>
    </row>
    <row r="46">
      <c r="B46">
        <f>SIGN(-5)</f>
        <v>0</v>
      </c>
    </row>
    <row r="47">
      <c r="B47">
        <f>SIGN(0)</f>
        <v>0</v>
      </c>
    </row>
    <row r="48">
      <c r="B48">
        <f>SIGN(5)</f>
        <v>0</v>
      </c>
    </row>
    <row r="49">
      <c r="B49">
        <f>ARABIC("XIV")</f>
        <v>0</v>
      </c>
    </row>
    <row r="50">
      <c r="B50">
        <f>ROMAN(14)</f>
        <v>0</v>
      </c>
    </row>
    <row r="51">
      <c r="B51">
        <f>BASE(255,16)</f>
        <v>0</v>
      </c>
    </row>
    <row r="52">
      <c r="B52">
        <f>DECIMAL("FF",16)</f>
        <v>0</v>
      </c>
    </row>
    <row r="53">
      <c r="B53">
        <f>RAND()</f>
        <v>0</v>
      </c>
    </row>
    <row r="54">
      <c r="B54">
        <f>RANDBETWEEN(1,10)</f>
        <v>0</v>
      </c>
    </row>
  </sheetData>
  <ignoredErrors>
    <ignoredError numberStoredAsText="1" sqref="A1:B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B1">
        <f>CHAR(65)</f>
        <v>0</v>
      </c>
    </row>
    <row r="2">
      <c r="B2">
        <f>CODE("A")</f>
        <v>0</v>
      </c>
    </row>
    <row r="3">
      <c r="B3">
        <f>CONCATENATE("a","b","c")</f>
        <v>0</v>
      </c>
    </row>
    <row r="4">
      <c r="B4">
        <f>CONCAT("a","b","c")</f>
        <v>0</v>
      </c>
    </row>
    <row r="5">
      <c r="B5">
        <f>EXACT("a","a")</f>
        <v>0</v>
      </c>
    </row>
    <row r="6">
      <c r="B6">
        <f>EXACT("a","A")</f>
        <v>0</v>
      </c>
    </row>
    <row r="7">
      <c r="B7">
        <f>FIND("c","abcde")</f>
        <v>0</v>
      </c>
    </row>
    <row r="8">
      <c r="B8">
        <f>SEARCH("C","abcde")</f>
        <v>0</v>
      </c>
    </row>
    <row r="9">
      <c r="B9">
        <f>LEFT("hello",2)</f>
        <v>0</v>
      </c>
    </row>
    <row r="10">
      <c r="B10">
        <f>RIGHT("hello",2)</f>
        <v>0</v>
      </c>
    </row>
    <row r="11">
      <c r="B11">
        <f>MID("hello",2,3)</f>
        <v>0</v>
      </c>
    </row>
    <row r="12">
      <c r="B12">
        <f>LEN("hello")</f>
        <v>0</v>
      </c>
    </row>
    <row r="13">
      <c r="B13">
        <f>LOWER("ABC")</f>
        <v>0</v>
      </c>
    </row>
    <row r="14">
      <c r="B14">
        <f>UPPER("abc")</f>
        <v>0</v>
      </c>
    </row>
    <row r="15">
      <c r="B15">
        <f>PROPER("hello world")</f>
        <v>0</v>
      </c>
    </row>
    <row r="16">
      <c r="B16">
        <f>REPLACE("hello",2,3,"ELLO")</f>
        <v>0</v>
      </c>
    </row>
    <row r="17">
      <c r="B17">
        <f>REPT("ab",3)</f>
        <v>0</v>
      </c>
    </row>
    <row r="18">
      <c r="B18">
        <f>SUBSTITUTE("hello","l","L")</f>
        <v>0</v>
      </c>
    </row>
    <row r="19">
      <c r="B19">
        <f>TRIM("  a  b  ")</f>
        <v>0</v>
      </c>
    </row>
    <row r="20">
      <c r="B20">
        <f>VALUE("123")</f>
        <v>0</v>
      </c>
    </row>
    <row r="21">
      <c r="B21">
        <f>VALUE("12.5")</f>
        <v>0</v>
      </c>
    </row>
    <row r="22">
      <c r="B22">
        <f>T("x")</f>
        <v>0</v>
      </c>
    </row>
    <row r="23">
      <c r="B23">
        <f>T(5)</f>
        <v>0</v>
      </c>
    </row>
    <row r="24">
      <c r="B24">
        <f>N("x")</f>
        <v>0</v>
      </c>
    </row>
    <row r="25">
      <c r="B25">
        <f>N(5)</f>
        <v>0</v>
      </c>
    </row>
    <row r="26">
      <c r="B26">
        <f>N(TRUE())</f>
        <v>0</v>
      </c>
    </row>
  </sheetData>
  <ignoredErrors>
    <ignoredError numberStoredAsText="1" sqref="A1:B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B1">
        <f>AND(TRUE(),TRUE())</f>
        <v>0</v>
      </c>
    </row>
    <row r="2">
      <c r="B2">
        <f>AND(TRUE(),FALSE())</f>
        <v>0</v>
      </c>
    </row>
    <row r="3">
      <c r="B3">
        <f>OR(FALSE(),TRUE())</f>
        <v>0</v>
      </c>
    </row>
    <row r="4">
      <c r="B4">
        <f>OR(FALSE(),FALSE())</f>
        <v>0</v>
      </c>
    </row>
    <row r="5">
      <c r="B5">
        <f>NOT(TRUE())</f>
        <v>0</v>
      </c>
    </row>
    <row r="6">
      <c r="B6">
        <f>NOT(FALSE())</f>
        <v>0</v>
      </c>
    </row>
    <row r="7">
      <c r="B7">
        <f>XOR(TRUE(),FALSE())</f>
        <v>0</v>
      </c>
    </row>
    <row r="8">
      <c r="B8">
        <f>XOR(TRUE(),TRUE())</f>
        <v>0</v>
      </c>
    </row>
    <row r="9">
      <c r="B9">
        <f>IF(TRUE(),"y","n")</f>
        <v>0</v>
      </c>
    </row>
    <row r="10">
      <c r="B10">
        <f>IF(FALSE(),"y","n")</f>
        <v>0</v>
      </c>
    </row>
    <row r="11">
      <c r="B11">
        <f>IFERROR(1/0,"oops")</f>
        <v>0</v>
      </c>
    </row>
    <row r="12">
      <c r="B12">
        <f>IFERROR(5,"oops")</f>
        <v>0</v>
      </c>
    </row>
    <row r="13">
      <c r="B13">
        <f>IFNA(NA(),"na")</f>
        <v>0</v>
      </c>
    </row>
    <row r="14">
      <c r="B14">
        <f>TRUE()</f>
        <v>0</v>
      </c>
    </row>
    <row r="15">
      <c r="B15">
        <f>FALSE()</f>
        <v>0</v>
      </c>
    </row>
  </sheetData>
  <ignoredErrors>
    <ignoredError numberStoredAsText="1" sqref="A1:B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B1">
        <f>DATE(2026,10,17)</f>
        <v>0</v>
      </c>
    </row>
    <row r="2">
      <c r="B2">
        <f>YEAR(DATE(2026,10,17))</f>
        <v>0</v>
      </c>
    </row>
    <row r="3">
      <c r="B3">
        <f>MONTH(DATE(2026,10,17))</f>
        <v>0</v>
      </c>
    </row>
    <row r="4">
      <c r="B4">
        <f>DAY(DATE(2026,10,17))</f>
        <v>0</v>
      </c>
    </row>
    <row r="5">
      <c r="B5">
        <f>DAYS(DATE(2026,10,20),DATE(2026,10,17))</f>
        <v>0</v>
      </c>
    </row>
    <row r="6">
      <c r="B6">
        <f>WEEKDAY(DATE(2026,10,17))</f>
        <v>0</v>
      </c>
    </row>
    <row r="7">
      <c r="B7">
        <f>EOMONTH(DATE(2026,10,17),0)</f>
        <v>0</v>
      </c>
    </row>
    <row r="8">
      <c r="B8">
        <f>EDATE(DATE(2026,10,17),1)</f>
        <v>0</v>
      </c>
    </row>
    <row r="9">
      <c r="B9">
        <f>TIME(13,30,0)</f>
        <v>0</v>
      </c>
    </row>
    <row r="10">
      <c r="B10">
        <f>HOUR(TIME(13,30,15))</f>
        <v>0</v>
      </c>
    </row>
    <row r="11">
      <c r="B11">
        <f>MINUTE(TIME(13,30,15))</f>
        <v>0</v>
      </c>
    </row>
    <row r="12">
      <c r="B12">
        <f>SECOND(TIME(13,30,15))</f>
        <v>0</v>
      </c>
    </row>
    <row r="13">
      <c r="B13">
        <f>NOW()</f>
        <v>0</v>
      </c>
    </row>
    <row r="14">
      <c r="B14">
        <f>TODAY()</f>
        <v>0</v>
      </c>
    </row>
  </sheetData>
  <ignoredErrors>
    <ignoredError numberStoredAsText="1" sqref="A1:B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B1">
        <f>PMT(0.05/12,60,10000)</f>
        <v>0</v>
      </c>
    </row>
    <row r="2">
      <c r="B2">
        <f>FV(0.05/12,60,-100)</f>
        <v>0</v>
      </c>
    </row>
    <row r="3">
      <c r="B3">
        <f>PV(0.05/12,60,-100)</f>
        <v>0</v>
      </c>
    </row>
    <row r="4">
      <c r="B4">
        <f>NPER(0.05/12,-100,10000)</f>
        <v>0</v>
      </c>
    </row>
    <row r="5">
      <c r="B5">
        <f>SLN(10000,1000,5)</f>
        <v>0</v>
      </c>
    </row>
    <row r="6">
      <c r="B6">
        <f>NPV(0.1,100,200,300)</f>
        <v>0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B1">
        <f>ISNUMBER(5)</f>
        <v>0</v>
      </c>
    </row>
    <row r="2">
      <c r="B2">
        <f>ISNUMBER("x")</f>
        <v>0</v>
      </c>
    </row>
    <row r="3">
      <c r="B3">
        <f>ISTEXT("x")</f>
        <v>0</v>
      </c>
    </row>
    <row r="4">
      <c r="B4">
        <f>ISTEXT(5)</f>
        <v>0</v>
      </c>
    </row>
    <row r="5">
      <c r="B5">
        <f>ISBLANK(A100)</f>
        <v>0</v>
      </c>
    </row>
    <row r="6">
      <c r="B6">
        <f>ISBLANK(5)</f>
        <v>0</v>
      </c>
    </row>
    <row r="7">
      <c r="B7">
        <f>ISERROR(1/0)</f>
        <v>0</v>
      </c>
    </row>
    <row r="8">
      <c r="B8">
        <f>ISERROR(5)</f>
        <v>0</v>
      </c>
    </row>
    <row r="9">
      <c r="B9">
        <f>ISNA(NA())</f>
        <v>0</v>
      </c>
    </row>
    <row r="10">
      <c r="B10">
        <f>ISNA(5)</f>
        <v>0</v>
      </c>
    </row>
    <row r="11">
      <c r="B11">
        <f>ISLOGICAL(TRUE())</f>
        <v>0</v>
      </c>
    </row>
    <row r="12">
      <c r="B12">
        <f>ISNONTEXT("x")</f>
        <v>0</v>
      </c>
    </row>
    <row r="13">
      <c r="B13">
        <f>ISNONTEXT(5)</f>
        <v>0</v>
      </c>
    </row>
    <row r="14">
      <c r="B14">
        <f>ISEVEN(4)</f>
        <v>0</v>
      </c>
    </row>
    <row r="15">
      <c r="B15">
        <f>ISODD(3)</f>
        <v>0</v>
      </c>
    </row>
    <row r="16">
      <c r="B16">
        <f>NA()</f>
        <v>0</v>
      </c>
    </row>
  </sheetData>
  <ignoredErrors>
    <ignoredError numberStoredAsText="1" sqref="A1:B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B1">
        <f>BIN2DEC("1010")</f>
        <v>0</v>
      </c>
    </row>
    <row r="2">
      <c r="B2">
        <f>BIN2HEX("1010")</f>
        <v>0</v>
      </c>
    </row>
    <row r="3">
      <c r="B3">
        <f>BIN2OCT("1010")</f>
        <v>0</v>
      </c>
    </row>
    <row r="4">
      <c r="B4">
        <f>DEC2BIN(10)</f>
        <v>0</v>
      </c>
    </row>
    <row r="5">
      <c r="B5">
        <f>DEC2HEX(255)</f>
        <v>0</v>
      </c>
    </row>
    <row r="6">
      <c r="B6">
        <f>DEC2OCT(8)</f>
        <v>0</v>
      </c>
    </row>
    <row r="7">
      <c r="B7">
        <f>HEX2DEC("FF")</f>
        <v>0</v>
      </c>
    </row>
    <row r="8">
      <c r="B8">
        <f>BITAND(6,3)</f>
        <v>0</v>
      </c>
    </row>
    <row r="9">
      <c r="B9">
        <f>BITOR(6,3)</f>
        <v>0</v>
      </c>
    </row>
    <row r="10">
      <c r="B10">
        <f>BITXOR(6,3)</f>
        <v>0</v>
      </c>
    </row>
    <row r="11">
      <c r="B11">
        <f>BITLSHIFT(6,1)</f>
        <v>0</v>
      </c>
    </row>
    <row r="12">
      <c r="B12">
        <f>BITRSHIFT(6,1)</f>
        <v>0</v>
      </c>
    </row>
    <row r="13">
      <c r="B13">
        <f>DELTA(5,5)</f>
        <v>0</v>
      </c>
    </row>
    <row r="14">
      <c r="B14">
        <f>DELTA(5,6)</f>
        <v>0</v>
      </c>
    </row>
    <row r="15">
      <c r="B15">
        <f>GESTEP(5,4)</f>
        <v>0</v>
      </c>
    </row>
    <row r="16">
      <c r="B16">
        <f>GESTEP(3,4)</f>
        <v>0</v>
      </c>
    </row>
  </sheetData>
  <ignoredErrors>
    <ignoredError numberStoredAsText="1" sqref="A1:B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Data>
    <row r="1">
      <c r="B1">
        <f>ACOT(1)</f>
        <v>0</v>
      </c>
      <c r="C1">
        <f>GAMMADIST(1,2,3,FALSE())</f>
        <v>0</v>
      </c>
      <c r="D1">
        <f>OCT2DEC("10")</f>
        <v>0</v>
      </c>
    </row>
    <row r="2">
      <c r="B2">
        <f>ACOTH(2)</f>
        <v>0</v>
      </c>
      <c r="C2">
        <f>GAMMA.INV(0.5,2,3)</f>
        <v>0</v>
      </c>
      <c r="D2">
        <f>OCT2HEX("10")</f>
        <v>0</v>
      </c>
    </row>
    <row r="3">
      <c r="B3">
        <f>COT(1)</f>
        <v>0</v>
      </c>
      <c r="C3">
        <f>GAMMAINV(0.5,2,3)</f>
        <v>0</v>
      </c>
      <c r="D3">
        <f>ISBINARY("101")</f>
        <v>0</v>
      </c>
    </row>
    <row r="4">
      <c r="B4">
        <f>COTH(2)</f>
        <v>0</v>
      </c>
      <c r="C4">
        <f>BETA.DIST(0.5,2,3,TRUE())</f>
        <v>0</v>
      </c>
      <c r="D4">
        <f>CONVERT(1,"m","cm")</f>
        <v>0</v>
      </c>
    </row>
    <row r="5">
      <c r="B5">
        <f>CSC(1)</f>
        <v>0</v>
      </c>
      <c r="C5">
        <f>BETA.INV(0.5,2,3)</f>
        <v>0</v>
      </c>
      <c r="D5">
        <f>TRANSPOSE(Stats!A1:A3)</f>
        <v>0</v>
      </c>
    </row>
    <row r="6">
      <c r="B6">
        <f>CSCH(2)</f>
        <v>0</v>
      </c>
      <c r="C6">
        <f>BETAINV(0.5,2,3)</f>
        <v>0</v>
      </c>
      <c r="D6">
        <f>FILTER(Stats!A1:A5,Stats!A1:A5&gt;10)</f>
        <v>0</v>
      </c>
    </row>
    <row r="7">
      <c r="B7">
        <f>SEC(1)</f>
        <v>0</v>
      </c>
      <c r="C7">
        <f>LOGNORM.DIST(1,0,1,TRUE())</f>
        <v>0</v>
      </c>
      <c r="D7">
        <f>SORT(Stats!A1:A5)</f>
        <v>0</v>
      </c>
    </row>
    <row r="8">
      <c r="B8">
        <f>SECH(2)</f>
        <v>0</v>
      </c>
      <c r="C8">
        <f>LOGNORMDIST(1,0,1,TRUE())</f>
        <v>0</v>
      </c>
      <c r="D8">
        <f>UNIQUE(Stats!A1:A5)</f>
        <v>0</v>
      </c>
    </row>
    <row r="9">
      <c r="B9">
        <f>TANH(1)</f>
        <v>0</v>
      </c>
      <c r="C9">
        <f>LOGNORM.INV(0.5,0,1)</f>
        <v>0</v>
      </c>
      <c r="D9">
        <f>SEQUENCE(3)</f>
        <v>0</v>
      </c>
    </row>
    <row r="10">
      <c r="B10">
        <f>CLEAN("a"&amp;CHAR(7)&amp;"b")</f>
        <v>0</v>
      </c>
      <c r="C10">
        <f>LOGINV(0.5,0,1)</f>
        <v>0</v>
      </c>
      <c r="D10">
        <f>RANDARRAY(2,2)</f>
        <v>0</v>
      </c>
    </row>
    <row r="11">
      <c r="B11">
        <f>UNICHAR(65)</f>
        <v>0</v>
      </c>
      <c r="C11">
        <f>HYPGEOM.DIST(1,5,10,20,FALSE())</f>
        <v>0</v>
      </c>
      <c r="D11">
        <f>MMULT(Stats!A1:A2,Stats!A1:A2)</f>
        <v>0</v>
      </c>
    </row>
    <row r="12">
      <c r="B12">
        <f>UNICODE("A")</f>
        <v>0</v>
      </c>
      <c r="C12">
        <f>HYPGEOMDIST(1,5,10,20,TRUE())</f>
        <v>0</v>
      </c>
      <c r="D12">
        <f>HF.ADD(1,2)</f>
        <v>0</v>
      </c>
    </row>
    <row r="13">
      <c r="B13">
        <f>TEXT(123.456,"0.00")</f>
        <v>0</v>
      </c>
      <c r="C13">
        <f>CRITBINOM(10,0.5,0.5)</f>
        <v>0</v>
      </c>
      <c r="D13">
        <f>HF.MINUS(3,1)</f>
        <v>0</v>
      </c>
    </row>
    <row r="14">
      <c r="B14">
        <f>DOLLAR(123.456,2)</f>
        <v>0</v>
      </c>
      <c r="C14">
        <f>CONFIDENCE(0.05,1,100)</f>
        <v>0</v>
      </c>
      <c r="D14">
        <f>HF.MULTIPLY(2,3)</f>
        <v>0</v>
      </c>
    </row>
    <row r="15">
      <c r="B15">
        <f>FORMULATEXT(B1)</f>
        <v>0</v>
      </c>
      <c r="C15">
        <f>CONFIDENCE.NORM(0.05,1,100)</f>
        <v>0</v>
      </c>
      <c r="D15">
        <f>HF.DIVIDE(6,2)</f>
        <v>0</v>
      </c>
    </row>
    <row r="16">
      <c r="B16">
        <f>HYPERLINK("https://example.com","x")</f>
        <v>0</v>
      </c>
      <c r="C16">
        <f>CONFIDENCE.T(0.05,1,100)</f>
        <v>0</v>
      </c>
      <c r="D16">
        <f>HF.POW(2,3)</f>
        <v>0</v>
      </c>
    </row>
    <row r="17">
      <c r="B17">
        <f>MROUND(10,3)</f>
        <v>0</v>
      </c>
      <c r="C17">
        <f>FISHER(0.5)</f>
        <v>0</v>
      </c>
      <c r="D17">
        <f>HF.CONCAT("a","b")</f>
        <v>0</v>
      </c>
    </row>
    <row r="18">
      <c r="B18">
        <f>SQRTPI(4)</f>
        <v>0</v>
      </c>
      <c r="C18">
        <f>FISHERINV(0.5)</f>
        <v>0</v>
      </c>
      <c r="D18">
        <f>HF.EQ(1,1)</f>
        <v>0</v>
      </c>
    </row>
    <row r="19">
      <c r="B19">
        <f>SERIESSUM(2,0,1,Stats!A1:A3)</f>
        <v>0</v>
      </c>
      <c r="C19">
        <f>STANDARDIZE(1,0,1)</f>
        <v>0</v>
      </c>
      <c r="D19">
        <f>HF.NE(1,2)</f>
        <v>0</v>
      </c>
    </row>
    <row r="20">
      <c r="B20">
        <f>SUMX2MY2(Stats!A1:A3,Stats!A1:A3)</f>
        <v>0</v>
      </c>
      <c r="C20">
        <f>Z.TEST(Stats!A1:A5,10)</f>
        <v>0</v>
      </c>
      <c r="D20">
        <f>HF.GT(2,1)</f>
        <v>0</v>
      </c>
    </row>
    <row r="21">
      <c r="B21">
        <f>SUMX2PY2(Stats!A1:A3,Stats!A1:A3)</f>
        <v>0</v>
      </c>
      <c r="C21">
        <f>ZTEST(Stats!A1:A5,10)</f>
        <v>0</v>
      </c>
      <c r="D21">
        <f>HF.LT(1,2)</f>
        <v>0</v>
      </c>
    </row>
    <row r="22">
      <c r="B22">
        <f>SUMXMY2(Stats!A1:A3,Stats!A1:A3)</f>
        <v>0</v>
      </c>
      <c r="C22">
        <f>BESSELI(1,2)</f>
        <v>0</v>
      </c>
      <c r="D22">
        <f>HF.GTE(1,1)</f>
        <v>0</v>
      </c>
    </row>
    <row r="23">
      <c r="B23">
        <f>FACTDOUBLE(5)</f>
        <v>0</v>
      </c>
      <c r="C23">
        <f>BESSELJ(1,2)</f>
        <v>0</v>
      </c>
      <c r="D23">
        <f>HF.LTE(1,1)</f>
        <v>0</v>
      </c>
    </row>
    <row r="24">
      <c r="B24">
        <f>COMBINA(5,2)</f>
        <v>0</v>
      </c>
      <c r="C24">
        <f>BESSELK(1,2)</f>
        <v>0</v>
      </c>
      <c r="D24">
        <f>HF.UMINUS(5)</f>
        <v>0</v>
      </c>
    </row>
    <row r="25">
      <c r="B25">
        <f>MULTINOMIAL(2,3)</f>
        <v>0</v>
      </c>
      <c r="C25">
        <f>BESSELY(1,2)</f>
        <v>0</v>
      </c>
      <c r="D25">
        <f>HF.UPLUS(5)</f>
        <v>0</v>
      </c>
    </row>
    <row r="26">
      <c r="B26">
        <f>ARABIC("IV")</f>
        <v>0</v>
      </c>
      <c r="C26">
        <f>COMPLEX(1,2)</f>
        <v>0</v>
      </c>
      <c r="D26">
        <f>HF.UNARY_PERCENT(50)</f>
        <v>0</v>
      </c>
    </row>
    <row r="27">
      <c r="B27">
        <f>ROMAN(9)</f>
        <v>0</v>
      </c>
      <c r="C27">
        <f>IMABS("1+2i")</f>
        <v>0</v>
      </c>
      <c r="D27">
        <f>INTERVAL(Stats!A1:A5)</f>
        <v>0</v>
      </c>
    </row>
    <row r="28">
      <c r="B28">
        <f>ERF(1)</f>
        <v>0</v>
      </c>
      <c r="C28">
        <f>IMAGINARY("1+2i")</f>
        <v>0</v>
      </c>
      <c r="D28">
        <f>SPLIT("a,b,c",",")</f>
        <v>0</v>
      </c>
    </row>
    <row r="29">
      <c r="B29">
        <f>ERFC(1)</f>
        <v>0</v>
      </c>
      <c r="C29">
        <f>IMREAL("1+2i")</f>
        <v>0</v>
      </c>
      <c r="D29">
        <f>MAXPOOL(Stats!A1:A5)</f>
        <v>0</v>
      </c>
    </row>
    <row r="30">
      <c r="B30">
        <f>GAMMA(5)</f>
        <v>0</v>
      </c>
      <c r="C30">
        <f>IMARGUMENT("1+2i")</f>
        <v>0</v>
      </c>
      <c r="D30">
        <f>MEDIANPOOL(Stats!A1:A5)</f>
        <v>0</v>
      </c>
    </row>
    <row r="31">
      <c r="B31">
        <f>GAMMALN(5)</f>
        <v>0</v>
      </c>
      <c r="C31">
        <f>IMCONJUGATE("1+2i")</f>
        <v>0</v>
      </c>
    </row>
    <row r="32">
      <c r="B32">
        <f>GAUSS(1)</f>
        <v>0</v>
      </c>
      <c r="C32">
        <f>IMCOS("1+2i")</f>
        <v>0</v>
      </c>
    </row>
    <row r="33">
      <c r="B33">
        <f>AVERAGEA(Stats!A1:A5)</f>
        <v>0</v>
      </c>
      <c r="C33">
        <f>IMCOSH("1+2i")</f>
        <v>0</v>
      </c>
    </row>
    <row r="34">
      <c r="B34">
        <f>MAXA(Stats!A1:A5)</f>
        <v>0</v>
      </c>
      <c r="C34">
        <f>IMCOT("1+2i")</f>
        <v>0</v>
      </c>
    </row>
    <row r="35">
      <c r="B35">
        <f>MINA(Stats!A1:A5)</f>
        <v>0</v>
      </c>
      <c r="C35">
        <f>IMCSC("1+2i")</f>
        <v>0</v>
      </c>
    </row>
    <row r="36">
      <c r="B36">
        <f>COUNTBLANK(Stats!A1:A5)</f>
        <v>0</v>
      </c>
      <c r="C36">
        <f>IMCSCH("1+2i")</f>
        <v>0</v>
      </c>
    </row>
    <row r="37">
      <c r="B37">
        <f>COUNTIFS(Stats!A1:A5,"&gt;10")</f>
        <v>0</v>
      </c>
      <c r="C37">
        <f>IMSEC("1+2i")</f>
        <v>0</v>
      </c>
    </row>
    <row r="38">
      <c r="B38">
        <f>SUMIFS(Stats!A1:A5,Stats!A1:A5,"&gt;10")</f>
        <v>0</v>
      </c>
      <c r="C38">
        <f>IMSECH("1+2i")</f>
        <v>0</v>
      </c>
    </row>
    <row r="39">
      <c r="B39">
        <f>AVERAGEIF(Stats!A1:A5,"&gt;10")</f>
        <v>0</v>
      </c>
      <c r="C39">
        <f>IMSIN("1+2i")</f>
        <v>0</v>
      </c>
    </row>
    <row r="40">
      <c r="B40">
        <f>MAXIFS(Stats!A1:A5,Stats!A1:A5,"&gt;10")</f>
        <v>0</v>
      </c>
      <c r="C40">
        <f>IMSINH("1+2i")</f>
        <v>0</v>
      </c>
    </row>
    <row r="41">
      <c r="B41">
        <f>MINIFS(Stats!A1:A5,Stats!A1:A5,"&gt;10")</f>
        <v>0</v>
      </c>
      <c r="C41">
        <f>IMTAN("1+2i")</f>
        <v>0</v>
      </c>
    </row>
    <row r="42">
      <c r="B42">
        <f>COUNTUNIQUE(Stats!A1:A5)</f>
        <v>0</v>
      </c>
      <c r="C42">
        <f>IMDIV("1+2i","3+4i")</f>
        <v>0</v>
      </c>
    </row>
    <row r="43">
      <c r="B43">
        <f>STDEVA(Stats!A1:A5)</f>
        <v>0</v>
      </c>
      <c r="C43">
        <f>IMEXP("1+2i")</f>
        <v>0</v>
      </c>
    </row>
    <row r="44">
      <c r="B44">
        <f>STDEVPA(Stats!A1:A5)</f>
        <v>0</v>
      </c>
      <c r="C44">
        <f>IMLN("1+2i")</f>
        <v>0</v>
      </c>
    </row>
    <row r="45">
      <c r="B45">
        <f>VARA(Stats!A1:A5)</f>
        <v>0</v>
      </c>
      <c r="C45">
        <f>IMLOG10("1+2i")</f>
        <v>0</v>
      </c>
    </row>
    <row r="46">
      <c r="B46">
        <f>VARPA(Stats!A1:A5)</f>
        <v>0</v>
      </c>
      <c r="C46">
        <f>IMLOG2("1+2i")</f>
        <v>0</v>
      </c>
    </row>
    <row r="47">
      <c r="B47">
        <f>AVEDEV(Stats!A1:A5)</f>
        <v>0</v>
      </c>
      <c r="C47">
        <f>IMPOWER("1+2i",2)</f>
        <v>0</v>
      </c>
    </row>
    <row r="48">
      <c r="B48">
        <f>DEVSQ(Stats!A1:A5)</f>
        <v>0</v>
      </c>
      <c r="C48">
        <f>IMPRODUCT("1+2i","3+4i")</f>
        <v>0</v>
      </c>
    </row>
    <row r="49">
      <c r="B49">
        <f>GEOMEAN(Stats!A1:A5)</f>
        <v>0</v>
      </c>
      <c r="C49">
        <f>IMSQRT("1+2i")</f>
        <v>0</v>
      </c>
    </row>
    <row r="50">
      <c r="B50">
        <f>HARMEAN(Stats!A1:A5)</f>
        <v>0</v>
      </c>
      <c r="C50">
        <f>IMSUB("1+2i","3+4i")</f>
        <v>0</v>
      </c>
    </row>
    <row r="51">
      <c r="B51">
        <f>SKEW(Stats!A1:A5)</f>
        <v>0</v>
      </c>
      <c r="C51">
        <f>IMSUM("1+2i","3+4i")</f>
        <v>0</v>
      </c>
    </row>
    <row r="52">
      <c r="B52">
        <f>SKEW.P(Stats!A1:A5)</f>
        <v>0</v>
      </c>
      <c r="C52">
        <f>IPMT(0.05/12,1,60,10000)</f>
        <v>0</v>
      </c>
    </row>
    <row r="53">
      <c r="B53">
        <f>CORREL(Stats!A1:A5,Stats!A1:A5)</f>
        <v>0</v>
      </c>
      <c r="C53">
        <f>PPMT(0.05/12,1,60,10000)</f>
        <v>0</v>
      </c>
    </row>
    <row r="54">
      <c r="B54">
        <f>COVAR(Stats!A1:A5,Stats!A1:A5)</f>
        <v>0</v>
      </c>
      <c r="C54">
        <f>RATE(60,-100,10000)</f>
        <v>0</v>
      </c>
    </row>
    <row r="55">
      <c r="B55">
        <f>PEARSON(Stats!A1:A5,Stats!A1:A5)</f>
        <v>0</v>
      </c>
      <c r="C55">
        <f>NPER(0.05/12,-100,10000)</f>
        <v>0</v>
      </c>
    </row>
    <row r="56">
      <c r="B56">
        <f>RSQ(Stats!A1:A5,Stats!A1:A5)</f>
        <v>0</v>
      </c>
      <c r="C56">
        <f>CUMIPMT(0.05/12,60,10000,1,12,0)</f>
        <v>0</v>
      </c>
    </row>
    <row r="57">
      <c r="B57">
        <f>SLOPE(Stats!A1:A5,Stats!A1:A5)</f>
        <v>0</v>
      </c>
      <c r="C57">
        <f>CUMPRINC(0.05/12,60,10000,1,12,0)</f>
        <v>0</v>
      </c>
    </row>
    <row r="58">
      <c r="B58">
        <f>STEYX(Stats!A1:A5,Stats!A1:A5)</f>
        <v>0</v>
      </c>
      <c r="C58">
        <f>EFFECT(0.05,12)</f>
        <v>0</v>
      </c>
    </row>
    <row r="59">
      <c r="B59">
        <f>SUBTOTAL(9,Stats!A1:A5)</f>
        <v>0</v>
      </c>
      <c r="C59">
        <f>NOMINAL(0.05,12)</f>
        <v>0</v>
      </c>
    </row>
    <row r="60">
      <c r="B60">
        <f>SUMPRODUCT(Stats!A1:A3,Stats!A1:A3)</f>
        <v>0</v>
      </c>
      <c r="C60">
        <f>DDB(10000,1000,5,1)</f>
        <v>0</v>
      </c>
    </row>
    <row r="61">
      <c r="B61">
        <f>NORM.DIST(1,0,1,TRUE())</f>
        <v>0</v>
      </c>
      <c r="C61">
        <f>DB(10000,1000,5,1)</f>
        <v>0</v>
      </c>
    </row>
    <row r="62">
      <c r="B62">
        <f>NORMDIST(1,0,1,TRUE())</f>
        <v>0</v>
      </c>
      <c r="C62">
        <f>SLN(10000,1000,5)</f>
        <v>0</v>
      </c>
    </row>
    <row r="63">
      <c r="B63">
        <f>NORM.S.DIST(1,TRUE())</f>
        <v>0</v>
      </c>
      <c r="C63">
        <f>SYD(10000,1000,5,1)</f>
        <v>0</v>
      </c>
    </row>
    <row r="64">
      <c r="B64">
        <f>NORMSDIST(1,TRUE())</f>
        <v>0</v>
      </c>
      <c r="C64">
        <f>DOLLARDE(1.5,8)</f>
        <v>0</v>
      </c>
    </row>
    <row r="65">
      <c r="B65">
        <f>NORM.INV(0.5,0,1)</f>
        <v>0</v>
      </c>
      <c r="C65">
        <f>DOLLARFR(1.5,8)</f>
        <v>0</v>
      </c>
    </row>
    <row r="66">
      <c r="B66">
        <f>NORMINV(0.5,0,1)</f>
        <v>0</v>
      </c>
      <c r="C66">
        <f>MIRR({-100,50,60},0.1,0.12)</f>
        <v>0</v>
      </c>
    </row>
    <row r="67">
      <c r="B67">
        <f>NORM.S.INV(0.5)</f>
        <v>0</v>
      </c>
      <c r="C67">
        <f>XNPV(0.1,{100,200,300},{46000,46100,46200})</f>
        <v>0</v>
      </c>
    </row>
    <row r="68">
      <c r="B68">
        <f>NORMSINV(0.5)</f>
        <v>0</v>
      </c>
      <c r="C68">
        <f>PDURATION(0.05,10000,20000)</f>
        <v>0</v>
      </c>
    </row>
    <row r="69">
      <c r="B69">
        <f>PHI(1)</f>
        <v>0</v>
      </c>
      <c r="C69">
        <f>RRI(5,10000,20000)</f>
        <v>0</v>
      </c>
    </row>
    <row r="70">
      <c r="B70">
        <f>T.DIST(1,10,TRUE())</f>
        <v>0</v>
      </c>
      <c r="C70">
        <f>TBILLEQ(DATE(2026,10,17),DATE(2027,4,17),0.05)</f>
        <v>0</v>
      </c>
    </row>
    <row r="71">
      <c r="B71">
        <f>TDIST(1,10,1)</f>
        <v>0</v>
      </c>
      <c r="C71">
        <f>TBILLPRICE(DATE(2026,10,17),DATE(2027,4,17),0.05)</f>
        <v>0</v>
      </c>
    </row>
    <row r="72">
      <c r="B72">
        <f>T.DIST.2T(1,10)</f>
        <v>0</v>
      </c>
      <c r="C72">
        <f>TBILLYIELD(DATE(2026,10,17),DATE(2027,4,17),99)</f>
        <v>0</v>
      </c>
    </row>
    <row r="73">
      <c r="B73">
        <f>T.DIST.RT(1,10)</f>
        <v>0</v>
      </c>
      <c r="C73">
        <f>FVSCHEDULE(10000,Stats!A1:A3)</f>
        <v>0</v>
      </c>
    </row>
    <row r="74">
      <c r="B74">
        <f>T.INV(0.5,10)</f>
        <v>0</v>
      </c>
      <c r="C74">
        <f>ISPMT(0.05/12,1,60,10000)</f>
        <v>0</v>
      </c>
    </row>
    <row r="75">
      <c r="B75">
        <f>TINV(0.5,10)</f>
        <v>0</v>
      </c>
      <c r="C75">
        <f>DATEDIF(DATE(2026,1,1),DATE(2026,10,17),"D")</f>
        <v>0</v>
      </c>
    </row>
    <row r="76">
      <c r="B76">
        <f>T.INV.2T(0.5,10)</f>
        <v>0</v>
      </c>
      <c r="C76">
        <f>DAYS360(Dates!B1,Dates!B2)</f>
        <v>0</v>
      </c>
    </row>
    <row r="77">
      <c r="B77">
        <f>CHISQ.DIST(1,2,TRUE())</f>
        <v>0</v>
      </c>
      <c r="C77">
        <f>DATEVALUE("17/10/2026")</f>
        <v>0</v>
      </c>
    </row>
    <row r="78">
      <c r="B78">
        <f>CHIDIST(1,2)</f>
        <v>0</v>
      </c>
      <c r="C78">
        <f>TIMEVALUE("13:30")</f>
        <v>0</v>
      </c>
    </row>
    <row r="79">
      <c r="B79">
        <f>CHISQ.DIST.RT(1,2)</f>
        <v>0</v>
      </c>
      <c r="C79">
        <f>WEEKNUM(Dates!B1)</f>
        <v>0</v>
      </c>
    </row>
    <row r="80">
      <c r="B80">
        <f>CHISQ.INV(0.5,2)</f>
        <v>0</v>
      </c>
      <c r="C80">
        <f>ISOWEEKNUM(Dates!B1)</f>
        <v>0</v>
      </c>
    </row>
    <row r="81">
      <c r="B81">
        <f>CHIINV(0.5,2)</f>
        <v>0</v>
      </c>
      <c r="C81">
        <f>YEARFRAC(Dates!B1,Dates!B2)</f>
        <v>0</v>
      </c>
    </row>
    <row r="82">
      <c r="B82">
        <f>CHISQ.INV.RT(0.5,2)</f>
        <v>0</v>
      </c>
      <c r="C82">
        <f>NETWORKDAYS(Dates!B1,Dates!B2)</f>
        <v>0</v>
      </c>
    </row>
    <row r="83">
      <c r="B83">
        <f>F.DIST(1,2,3,TRUE())</f>
        <v>0</v>
      </c>
      <c r="C83">
        <f>WORKDAY(Dates!B1,5)</f>
        <v>0</v>
      </c>
    </row>
    <row r="84">
      <c r="B84">
        <f>FDIST(1,2,3)</f>
        <v>0</v>
      </c>
      <c r="C84">
        <f>EOMONTH(Dates!B1,1)</f>
        <v>0</v>
      </c>
    </row>
    <row r="85">
      <c r="B85">
        <f>F.DIST.RT(1,2,3)</f>
        <v>0</v>
      </c>
      <c r="C85">
        <f>EDATE(Dates!B1,1)</f>
        <v>0</v>
      </c>
    </row>
    <row r="86">
      <c r="B86">
        <f>F.INV(0.5,2,3)</f>
        <v>0</v>
      </c>
      <c r="C86">
        <f>OFFSET(Stats!A1,1,1)</f>
        <v>0</v>
      </c>
    </row>
    <row r="87">
      <c r="B87">
        <f>FINV(0.5,2,3)</f>
        <v>0</v>
      </c>
      <c r="C87">
        <f>INDEX(Stats!A1:A5,2)</f>
        <v>0</v>
      </c>
    </row>
    <row r="88">
      <c r="B88">
        <f>F.INV.RT(0.5,2,3)</f>
        <v>0</v>
      </c>
      <c r="C88">
        <f>FORMULATEXT(Stats!B1)</f>
        <v>0</v>
      </c>
    </row>
    <row r="89">
      <c r="B89">
        <f>BINOM.DIST(5,10,0.5,FALSE())</f>
        <v>0</v>
      </c>
      <c r="C89">
        <f>ISFORMULA(Stats!B1)</f>
        <v>0</v>
      </c>
    </row>
    <row r="90">
      <c r="B90">
        <f>BINOMDIST(5,10,0.5,FALSE())</f>
        <v>0</v>
      </c>
      <c r="C90">
        <f>ISFORMULA(Stats!A1)</f>
        <v>0</v>
      </c>
    </row>
    <row r="91">
      <c r="B91">
        <f>BINOM.INV(10,0.5,0.5)</f>
        <v>0</v>
      </c>
      <c r="C91">
        <f>ISERR(1/0)</f>
        <v>0</v>
      </c>
    </row>
    <row r="92">
      <c r="B92">
        <f>NEGBINOM.DIST(5,10,0.5,FALSE())</f>
        <v>0</v>
      </c>
      <c r="C92">
        <f>ISREF(Stats!A1)</f>
        <v>0</v>
      </c>
    </row>
    <row r="93">
      <c r="B93">
        <f>NEGBINOMDIST(5,10,0.5,TRUE())</f>
        <v>0</v>
      </c>
      <c r="C93">
        <f>SHEET()</f>
        <v>0</v>
      </c>
    </row>
    <row r="94">
      <c r="B94">
        <f>POISSON(5,10,FALSE())</f>
        <v>0</v>
      </c>
      <c r="C94">
        <f>SHEETS()</f>
        <v>0</v>
      </c>
    </row>
    <row r="95">
      <c r="B95">
        <f>POISSON.DIST(5,10,FALSE())</f>
        <v>0</v>
      </c>
      <c r="C95">
        <f>CELL("address",Stats!A1)</f>
        <v>0</v>
      </c>
    </row>
    <row r="96">
      <c r="B96">
        <f>WEIBULL(1,2,3,FALSE())</f>
        <v>0</v>
      </c>
      <c r="C96">
        <f>IFS(TRUE(),"a",TRUE(),"b")</f>
        <v>0</v>
      </c>
    </row>
    <row r="97">
      <c r="B97">
        <f>WEIBULL.DIST(1,2,3,FALSE())</f>
        <v>0</v>
      </c>
      <c r="C97">
        <f>SWITCH(2,1,"a",2,"b")</f>
        <v>0</v>
      </c>
    </row>
    <row r="98">
      <c r="B98">
        <f>EXPON.DIST(1,2,FALSE())</f>
        <v>0</v>
      </c>
      <c r="C98">
        <f>HEX2BIN("FF")</f>
        <v>0</v>
      </c>
    </row>
    <row r="99">
      <c r="B99">
        <f>EXPONDIST(1,2,FALSE())</f>
        <v>0</v>
      </c>
      <c r="C99">
        <f>HEX2OCT("FF")</f>
        <v>0</v>
      </c>
    </row>
    <row r="100">
      <c r="B100">
        <f>GAMMA.DIST(1,2,3,FALSE())</f>
        <v>0</v>
      </c>
      <c r="C100">
        <f>OCT2BIN("10")</f>
        <v>0</v>
      </c>
    </row>
  </sheetData>
  <ignoredErrors>
    <ignoredError numberStoredAsText="1" sqref="A1:D1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B1">
        <f>XLOOKUP("b",Lookup!A1:A4,Lookup!C1:C4)</f>
        <v>0</v>
      </c>
    </row>
    <row r="2">
      <c r="B2">
        <f>XLOOKUP("z",Lookup!A1:A4,Lookup!C1:C4,"missing")</f>
        <v>0</v>
      </c>
    </row>
    <row r="3">
      <c r="B3">
        <f>XLOOKUP("z",Lookup!A1:A4,Lookup!C1:C4)</f>
        <v>0</v>
      </c>
    </row>
    <row r="4">
      <c r="B4">
        <f>TEXTJOIN(",",TRUE(),"a","","b","c")</f>
        <v>0</v>
      </c>
    </row>
    <row r="5">
      <c r="B5">
        <f>TEXTJOIN("-",FALSE(),"x","y")</f>
        <v>0</v>
      </c>
    </row>
    <row r="6">
      <c r="B6">
        <f>AVERAGEIFS(Stats!A1:A5,Stats!A1:A5,"&gt;10")</f>
        <v>0</v>
      </c>
    </row>
    <row r="7">
      <c r="B7">
        <f>ERROR.TYPE(1/0)</f>
        <v>0</v>
      </c>
    </row>
    <row r="8">
      <c r="B8">
        <f>TYPE(123)</f>
        <v>0</v>
      </c>
    </row>
    <row r="9">
      <c r="B9">
        <f>TYPE("abc")</f>
        <v>0</v>
      </c>
    </row>
    <row r="10">
      <c r="B10">
        <f>TYPE(TRUE())</f>
        <v>0</v>
      </c>
    </row>
    <row r="11">
      <c r="B11">
        <f>FIXED(1234.567,2)</f>
        <v>0</v>
      </c>
    </row>
    <row r="12">
      <c r="B12">
        <f>RANK.EQ(20,Stats!A1:A5)</f>
        <v>0</v>
      </c>
    </row>
    <row r="13">
      <c r="B13">
        <f>LOOKUP(12,Stats!A1:A5,Stats!A1:A5)</f>
        <v>0</v>
      </c>
    </row>
    <row r="14">
      <c r="B14">
        <f>DSUM(DbData!A1:B4,"Sales",DbCrit!A1:A2)</f>
        <v>0</v>
      </c>
    </row>
    <row r="15">
      <c r="B15">
        <f>DAVERAGE(DbData!A1:B4,"Sales",DbCrit!A1:A2)</f>
        <v>0</v>
      </c>
    </row>
    <row r="16">
      <c r="B16">
        <f>DCOUNT(DbData!A1:B4,"Sales",DbCrit!A1:A2)</f>
        <v>0</v>
      </c>
    </row>
    <row r="17">
      <c r="B17">
        <f>DMAX(DbData!A1:B4,"Sales",DbCrit!A1:A2)</f>
        <v>0</v>
      </c>
    </row>
    <row r="18">
      <c r="B18">
        <f>DMIN(DbData!A1:B4,"Sales",DbCrit!A1:A2)</f>
        <v>0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Stats</vt:lpstr>
      <vt:lpstr>Lookup</vt:lpstr>
      <vt:lpstr>DbData</vt:lpstr>
      <vt:lpstr>DbCrit</vt:lpstr>
      <vt:lpstr>Math</vt:lpstr>
      <vt:lpstr>Text</vt:lpstr>
      <vt:lpstr>Logic</vt:lpstr>
      <vt:lpstr>Dates</vt:lpstr>
      <vt:lpstr>Finance</vt:lpstr>
      <vt:lpstr>Info</vt:lpstr>
      <vt:lpstr>Eng</vt:lpstr>
      <vt:lpstr>More</vt:lpstr>
      <vt:lpstr>More3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